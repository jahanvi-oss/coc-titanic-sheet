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nalysis" sheetId="2" r:id="rId5"/>
    <sheet state="visible" name="Pivot Table 3" sheetId="3" r:id="rId6"/>
    <sheet state="visible" name="Pivot Table 2" sheetId="4" r:id="rId7"/>
    <sheet state="visible" name="Pivot Table 1" sheetId="5" r:id="rId8"/>
    <sheet state="visible" name="Dashboard" sheetId="6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<sst xmlns="http://schemas.openxmlformats.org/spreadsheetml/2006/main" count="3277" uniqueCount="1319">
  <si>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</si>
  <si>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</si>
  <si>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</si>
  <si>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</si>
  <si>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</si>
  <si>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</si>
  <si>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</si>
  <si>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</si>
  <si>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</si>
  <si>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</si>
  <si>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</si>
  <si>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</si>
  <si>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</si>
  <si>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</si>
  <si>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</si>
  <si>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</si>
  <si>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</si>
  <si>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</si>
  <si>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</si>
  <si>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</si>
  <si>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</si>
  <si>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</si>
  <si>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</si>
  <si>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</si>
  <si>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</si>
  <si>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</si>
  <si>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</si>
  <si>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</si>
  <si>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</si>
  <si>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</si>
  <si>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</si>
  <si>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</si>
  <si>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</si>
  <si>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</si>
  <si>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</si>
  <si>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</si>
  <si>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</si>
  <si>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</si>
  <si>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</si>
  <si>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</si>
  <si>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</si>
  <si>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</si>
  <si>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</si>
  <si>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</si>
  <si>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</si>
  <si>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</si>
  <si>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</si>
  <si>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</si>
  <si>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</si>
  <si>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</si>
  <si>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</si>
  <si>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</si>
  <si>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</si>
  <si>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</si>
  <si>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</si>
  <si>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</si>
  <si>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</si>
  <si>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</si>
  <si>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</si>
  <si>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</si>
  <si>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</si>
  <si>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</si>
  <si>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</si>
  <si>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</si>
  <si>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</si>
  <si>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</si>
  <si>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</si>
  <si>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</si>
  <si>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</si>
  <si>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</si>
  <si>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</si>
  <si>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</si>
  <si>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</si>
  <si>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</si>
  <si>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</si>
  <si>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</si>
  <si>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</si>
  <si>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</si>
  <si>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</si>
  <si>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</si>
  <si>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</si>
  <si>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</si>
  <si>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</si>
  <si>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</si>
  <si>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</si>
  <si>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</si>
  <si>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</si>
  <si>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</si>
  <si>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</si>
  <si>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</si>
  <si>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</si>
  <si>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</si>
  <si>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</si>
  <si>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</si>
  <si>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</si>
  <si>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</si>
  <si>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</si>
  <si>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</si>
  <si>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</si>
  <si>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</si>
  <si>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</si>
  <si>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</si>
  <si>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</si>
  <si>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</si>
  <si>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</si>
  <si>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</si>
  <si>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</si>
  <si>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</si>
  <si>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</si>
  <si>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</si>
  <si>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</si>
  <si>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</si>
  <si>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</si>
  <si>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</si>
  <si>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</si>
  <si>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</si>
  <si>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</si>
  <si>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</si>
  <si>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</si>
  <si>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</si>
  <si>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</si>
  <si>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</si>
  <si>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</si>
  <si>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</si>
  <si>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</si>
  <si>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</si>
  <si>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</si>
  <si>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</si>
  <si>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</si>
  <si>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</si>
  <si>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</si>
  <si>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</si>
  <si>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</si>
  <si>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</si>
  <si>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</si>
  <si>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</si>
  <si>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</si>
  <si>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</si>
  <si>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</si>
  <si>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</si>
  <si>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</si>
  <si>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</si>
  <si>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</si>
  <si>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</si>
  <si>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</si>
  <si>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</si>
  <si>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</si>
  <si>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</si>
  <si>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</si>
  <si>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</si>
  <si>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</si>
  <si>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</si>
  <si>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</si>
  <si>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</si>
  <si>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</si>
  <si>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</si>
  <si>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</si>
  <si>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</si>
  <si>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</si>
  <si>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</si>
  <si>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</si>
  <si>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</si>
  <si>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</si>
  <si>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</si>
  <si>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</si>
  <si>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</si>
  <si>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</si>
  <si>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</si>
  <si>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</si>
  <si>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</si>
  <si>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</si>
  <si>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</si>
  <si>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</si>
  <si>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</si>
  <si>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</si>
  <si>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</si>
  <si>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</si>
  <si>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</si>
  <si>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</si>
  <si>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</si>
  <si>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</si>
  <si>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</si>
  <si>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</si>
  <si>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</si>
  <si>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</si>
  <si>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</si>
  <si>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</si>
  <si>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</si>
  <si>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</si>
  <si>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</si>
  <si>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</si>
  <si>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</si>
  <si>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</si>
  <si>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</si>
  <si>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</si>
  <si>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</si>
  <si>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</si>
  <si>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</si>
  <si>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</si>
  <si>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</si>
  <si>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</si>
  <si>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</si>
  <si>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</si>
  <si>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</si>
  <si>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</si>
  <si>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</si>
  <si>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</si>
  <si>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</si>
  <si>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</si>
  <si>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</si>
  <si>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</si>
  <si>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</si>
  <si>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</si>
  <si>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</si>
  <si>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</si>
  <si>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</si>
  <si>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</si>
  <si>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</si>
  <si>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</si>
  <si>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</si>
  <si>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</si>
  <si>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</si>
  <si>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</si>
  <si>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</si>
  <si>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</si>
  <si>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</si>
  <si>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</si>
  <si>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</si>
  <si>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</si>
  <si>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</si>
  <si>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</si>
  <si>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</si>
  <si>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</si>
  <si>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</si>
  <si>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</si>
  <si>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</si>
  <si>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</si>
  <si>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</si>
  <si>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</si>
  <si>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</si>
  <si>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</si>
  <si>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</si>
  <si>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</si>
  <si>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</si>
  <si>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</si>
  <si>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</si>
  <si>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</si>
  <si>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</si>
  <si>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</si>
  <si>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</si>
  <si>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</si>
  <si>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</si>
  <si>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</si>
  <si>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</si>
  <si>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</si>
  <si>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</si>
  <si>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</si>
  <si>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</si>
  <si>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</si>
  <si>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</si>
  <si>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</si>
  <si>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</si>
  <si>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</si>
  <si>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</si>
  <si>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</si>
  <si>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</si>
  <si>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</si>
  <si>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</si>
  <si>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</si>
  <si>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</si>
  <si>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</si>
  <si>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</si>
  <si>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</si>
  <si>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</si>
  <si>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</si>
  <si>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</si>
  <si>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</si>
  <si>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</si>
  <si>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</si>
  <si>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</si>
  <si>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</si>
  <si>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</si>
  <si>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</si>
  <si>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</si>
  <si>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</si>
  <si>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</si>
  <si>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</si>
  <si>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</si>
  <si>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</si>
  <si>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</si>
  <si>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</si>
  <si>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</si>
  <si>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</si>
  <si>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</si>
  <si>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</si>
  <si>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</si>
  <si>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</si>
  <si>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</si>
  <si>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</si>
  <si>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</si>
  <si>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</si>
  <si>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</si>
  <si>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</si>
  <si>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</si>
  <si>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</si>
  <si>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</si>
  <si>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</si>
  <si>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</si>
  <si>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</si>
  <si>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</si>
  <si>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</si>
  <si>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</si>
  <si>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</si>
  <si>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</si>
  <si>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</si>
  <si>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</si>
  <si>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</si>
  <si>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</si>
  <si>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</si>
  <si>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</si>
  <si>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</si>
  <si>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</si>
  <si>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</si>
  <si>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</si>
  <si>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</si>
  <si>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</si>
  <si>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</si>
  <si>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</si>
  <si>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</si>
  <si>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</si>
  <si>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</si>
  <si>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</si>
  <si>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</si>
  <si>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</si>
  <si>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</si>
  <si>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</si>
  <si>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</si>
  <si>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</si>
  <si>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</si>
  <si>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</si>
  <si>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</si>
  <si>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</si>
  <si>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</si>
  <si>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</si>
  <si>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</si>
  <si>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</si>
  <si>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</si>
  <si>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</si>
  <si>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</si>
  <si>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</si>
  <si>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</si>
  <si>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</si>
  <si>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</si>
  <si>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</si>
  <si>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</si>
  <si>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</si>
  <si>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</si>
  <si>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</si>
  <si>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</si>
  <si>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</si>
  <si>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</si>
  <si>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</si>
  <si>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</si>
  <si>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</si>
  <si>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</si>
  <si>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</si>
  <si>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</si>
  <si>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</si>
  <si>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</si>
  <si>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</si>
  <si>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</si>
  <si>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</si>
  <si>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</si>
  <si>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</si>
  <si>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</si>
  <si>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</si>
  <si>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</si>
  <si>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</si>
  <si>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</si>
  <si>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</si>
  <si>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</si>
  <si>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</si>
  <si>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</si>
  <si>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</si>
  <si>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</si>
  <si>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</si>
  <si>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</si>
  <si>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</si>
  <si>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</si>
  <si>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</si>
  <si>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</si>
  <si>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</si>
  <si>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</si>
  <si>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</si>
  <si>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</si>
  <si>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</si>
  <si>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</si>
  <si>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</si>
  <si>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</si>
  <si>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</si>
  <si>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</si>
  <si>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</si>
  <si>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</si>
  <si>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</si>
  <si>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</si>
  <si>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</si>
  <si>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</si>
  <si>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</si>
  <si>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</si>
  <si>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</si>
  <si>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</si>
  <si>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</si>
  <si>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</si>
  <si>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</si>
  <si>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</si>
  <si>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</si>
  <si>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</si>
  <si>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</si>
  <si>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</si>
  <si>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</si>
  <si>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</si>
  <si>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</si>
  <si>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</si>
  <si>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</si>
  <si>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</si>
  <si>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</si>
  <si>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</si>
  <si>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</si>
  <si>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</si>
  <si>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</si>
  <si>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</si>
  <si>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</si>
  <si>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</si>
  <si>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</si>
  <si>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</si>
  <si>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</si>
  <si>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</si>
  <si>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</si>
  <si>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</si>
  <si>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</si>
  <si>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</si>
  <si>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</si>
  <si>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</si>
  <si>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</si>
  <si>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</si>
  <si>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</si>
  <si>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</si>
  <si>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</si>
  <si>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</si>
  <si>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</si>
  <si>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</si>
  <si>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</si>
  <si>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</si>
  <si>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</si>
  <si>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</si>
  <si>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</si>
  <si>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</si>
  <si>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</si>
  <si>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</si>
  <si>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</si>
  <si>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</si>
  <si>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</si>
  <si>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</si>
  <si>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</si>
  <si>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</si>
  <si>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</si>
  <si>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</si>
  <si>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</si>
  <si>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</si>
  <si>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</si>
  <si>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</si>
  <si>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</si>
  <si>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</si>
  <si>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</si>
  <si>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</si>
  <si>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</si>
  <si>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</si>
  <si>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</si>
  <si>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</si>
  <si>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</si>
  <si>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</si>
  <si>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</si>
  <si>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</si>
  <si>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</si>
  <si>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</si>
  <si>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</si>
  <si>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</si>
  <si>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</si>
  <si>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</si>
  <si>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</si>
  <si>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</si>
  <si>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</si>
  <si>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</si>
  <si>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</si>
  <si>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</si>
  <si>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</si>
  <si>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</si>
  <si>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</si>
  <si>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</si>
  <si>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</si>
  <si>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</si>
  <si>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</si>
  <si>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</si>
  <si>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</si>
  <si>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</si>
  <si>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</si>
  <si>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</si>
  <si>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</si>
  <si>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</si>
  <si>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</si>
  <si>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</si>
  <si>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</si>
  <si>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</si>
  <si>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</si>
  <si>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</si>
  <si>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</si>
  <si>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</si>
  <si>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</si>
  <si>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</si>
  <si>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</si>
  <si>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</si>
  <si>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</si>
  <si>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</si>
  <si>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</si>
  <si>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</si>
  <si>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</si>
  <si>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</si>
  <si>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</si>
  <si>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</si>
  <si>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</si>
  <si>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</si>
  <si>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</si>
  <si>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</si>
  <si>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</si>
  <si>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</si>
  <si>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</si>
  <si>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</si>
  <si>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</si>
  <si>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</si>
  <si>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</si>
  <si>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</si>
  <si>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</si>
  <si>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</si>
  <si>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</si>
  <si>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</si>
  <si>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</si>
  <si>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</si>
  <si>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</si>
  <si>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</si>
  <si>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</si>
  <si>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</si>
  <si>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</si>
  <si>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</si>
  <si>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</si>
  <si>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</si>
  <si>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</si>
  <si>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</si>
  <si>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</si>
  <si>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</si>
  <si>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</si>
  <si>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</si>
  <si>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</si>
  <si>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</si>
  <si>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</si>
  <si>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</si>
  <si>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</si>
  <si>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</si>
  <si>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</si>
  <si>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</si>
  <si>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</si>
  <si>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</si>
  <si>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</si>
  <si>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</si>
  <si>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</si>
  <si>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</si>
  <si>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</si>
  <si>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</si>
  <si>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</si>
  <si>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</si>
  <si>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</si>
  <si>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</si>
  <si>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</si>
  <si>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</si>
  <si>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</si>
  <si>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</si>
  <si>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</si>
  <si>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</si>
  <si>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</si>
  <si>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</si>
  <si>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</si>
  <si>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</si>
  <si>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</si>
  <si>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</si>
  <si>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</si>
  <si>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</si>
  <si>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</si>
  <si>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</si>
  <si>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</si>
  <si>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</si>
  <si>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</si>
  <si>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</si>
  <si>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</si>
  <si>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</si>
  <si>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</si>
  <si>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</si>
  <si>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</si>
  <si>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</si>
  <si>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</si>
  <si>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</si>
  <si>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</si>
  <si>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</si>
  <si>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</si>
  <si>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</si>
  <si>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</si>
  <si>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</si>
  <si>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</si>
  <si>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</si>
  <si>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</si>
  <si>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</si>
  <si>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</si>
  <si>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</si>
  <si>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</si>
  <si>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</si>
  <si>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</si>
  <si>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</si>
  <si>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</si>
  <si>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</si>
  <si>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</si>
  <si>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</si>
  <si>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</si>
  <si>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</si>
  <si>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</si>
  <si>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</si>
  <si>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</si>
  <si>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</si>
  <si>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</si>
  <si>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</si>
  <si>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</si>
  <si>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</si>
  <si>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</si>
  <si>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</si>
  <si>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</si>
  <si>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</si>
  <si>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</si>
  <si>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</si>
  <si>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</si>
  <si>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</si>
  <si>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</si>
  <si>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</si>
  <si>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</si>
  <si>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</si>
  <si>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</si>
  <si>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</si>
  <si>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</si>
  <si>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</si>
  <si>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</si>
  <si>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</si>
  <si>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</si>
  <si>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</si>
  <si>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</si>
  <si>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</si>
  <si>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</si>
  <si>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</si>
  <si>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</si>
  <si>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</si>
  <si>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</si>
  <si>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</si>
  <si>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</si>
  <si>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</si>
  <si>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</si>
  <si>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</si>
  <si>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</si>
  <si>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</si>
  <si>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</si>
  <si>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</si>
  <si>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</si>
  <si>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</si>
  <si>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</si>
  <si>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</si>
  <si>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</si>
  <si>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</si>
  <si>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</si>
  <si>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</si>
  <si>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</si>
  <si>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</si>
  <si>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</si>
  <si>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</si>
  <si>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</si>
  <si>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</si>
  <si>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</si>
  <si>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</si>
  <si>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</si>
  <si>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</si>
  <si>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</si>
  <si>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</si>
  <si>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</si>
  <si>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</si>
  <si>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</si>
  <si>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</si>
  <si>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</si>
  <si>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</si>
  <si>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</si>
  <si>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</si>
  <si>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</si>
  <si>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</si>
  <si>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</si>
  <si>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</si>
  <si>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</si>
  <si>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</si>
  <si>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</si>
  <si>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</si>
  <si>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</si>
  <si>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</si>
  <si>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</si>
  <si>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</si>
  <si>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</si>
  <si>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</si>
  <si>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</si>
  <si>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</si>
  <si>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</si>
  <si>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</si>
  <si>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</si>
  <si>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</si>
  <si>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</si>
  <si>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</si>
  <si>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</si>
  <si>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</si>
  <si>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</si>
  <si>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</si>
  <si>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</si>
  <si>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</si>
  <si>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</si>
  <si>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</si>
  <si>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</si>
  <si>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</si>
  <si>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</si>
  <si>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</si>
  <si>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</si>
  <si>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</si>
  <si>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</si>
  <si>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</si>
  <si>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</si>
  <si>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</si>
  <si>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</si>
  <si>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</si>
  <si>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</si>
  <si>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</si>
  <si>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</si>
  <si>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</si>
  <si>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</si>
  <si>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</si>
  <si>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</si>
  <si>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</si>
  <si>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</si>
  <si>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</si>
  <si>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</si>
  <si>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</si>
  <si>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</si>
  <si>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</si>
  <si>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</si>
  <si>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</si>
  <si>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</si>
  <si>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</si>
  <si>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</si>
  <si>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</si>
  <si>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</si>
  <si>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</si>
  <si>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</si>
  <si>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</si>
  <si>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</si>
  <si>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</si>
  <si>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</si>
  <si>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</si>
  <si>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</si>
  <si>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</si>
  <si>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</si>
  <si>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</si>
  <si>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</si>
  <si>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</si>
  <si>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</si>
  <si>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</si>
  <si>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</si>
  <si>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</si>
  <si>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</si>
  <si>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</si>
  <si>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</si>
  <si>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</si>
  <si>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</si>
  <si>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</si>
  <si>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</si>
  <si>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</si>
  <si>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</si>
  <si>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</si>
  <si>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</si>
  <si>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</si>
  <si>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</si>
  <si>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</si>
  <si>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</si>
  <si>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</si>
  <si>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</si>
  <si>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</si>
  <si>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</si>
  <si>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</si>
  <si>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</si>
  <si>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</si>
  <si>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</si>
  <si>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</si>
  <si>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</si>
  <si>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</si>
  <si>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</si>
  <si>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</si>
  <si>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</si>
  <si>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</si>
  <si>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</si>
  <si>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</si>
  <si>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</si>
  <si>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</si>
  <si>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</si>
  <si>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</si>
  <si>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</si>
  <si>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</si>
  <si>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</si>
  <si>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</si>
  <si>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</si>
  <si>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</si>
  <si>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</si>
  <si>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</si>
  <si>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</si>
  <si>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</si>
  <si>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</si>
  <si>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</si>
  <si>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</si>
  <si>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</si>
  <si>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</si>
  <si>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</si>
  <si>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</si>
  <si>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</si>
  <si>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</si>
  <si>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</si>
  <si>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</si>
  <si>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</si>
  <si>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</si>
  <si>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</si>
  <si>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</si>
  <si>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</si>
  <si>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</si>
  <si>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</si>
  <si>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</si>
  <si>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</si>
  <si>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</si>
  <si>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</si>
  <si>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</si>
  <si>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</si>
  <si>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</si>
  <si>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</si>
  <si>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</si>
  <si>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</si>
  <si>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</si>
  <si>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</si>
  <si>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</si>
  <si>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</si>
  <si>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</si>
  <si>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</si>
  <si>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</si>
  <si>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</si>
  <si>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</si>
  <si>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</si>
  <si>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</si>
  <si>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</si>
  <si>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</si>
  <si>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</si>
  <si>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</si>
  <si>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</si>
  <si>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</si>
  <si>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</si>
  <si>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</si>
  <si>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</si>
  <si>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</si>
  <si>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</si>
  <si>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</si>
  <si>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</si>
  <si>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</si>
  <si>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</si>
  <si>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</si>
  <si>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</si>
  <si>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</si>
  <si>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</si>
  <si>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</si>
  <si>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</si>
  <si>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</si>
  <si>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</si>
  <si>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</si>
  <si>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</si>
  <si>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</si>
  <si>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</si>
  <si>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</si>
  <si>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</si>
  <si>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</si>
  <si>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</si>
  <si>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</si>
  <si>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</si>
  <si>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</si>
  <si>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</si>
  <si>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</si>
  <si>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</si>
  <si>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</si>
  <si>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</si>
  <si>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</si>
  <si>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</si>
  <si>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</si>
  <si>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</si>
  <si>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</si>
  <si>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</si>
  <si>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</si>
  <si>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</si>
  <si>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</si>
  <si>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</si>
  <si>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</si>
  <si>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</si>
  <si>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</si>
  <si>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</si>
  <si>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</si>
  <si>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</si>
  <si>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</si>
  <si>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</si>
  <si>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</si>
  <si>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</si>
  <si>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</si>
  <si>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</si>
  <si>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</si>
  <si>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</si>
  <si>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</si>
  <si>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</si>
  <si>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</si>
  <si>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</si>
  <si>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</si>
  <si>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</si>
  <si>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</si>
  <si>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</si>
  <si>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</si>
  <si>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</si>
  <si>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</si>
  <si>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</si>
  <si>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</si>
  <si>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</si>
  <si>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</si>
  <si>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</si>
  <si>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</si>
  <si>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</si>
  <si>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</si>
  <si>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</si>
  <si>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</si>
  <si>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</si>
  <si>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</si>
  <si>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</si>
  <si>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</si>
  <si>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</si>
  <si>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</si>
  <si>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</si>
  <si>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</si>
  <si>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</si>
  <si>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</si>
  <si>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</si>
  <si>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</si>
  <si>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</si>
  <si>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</si>
  <si>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</si>
  <si>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</si>
  <si>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</si>
  <si>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</si>
  <si>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</si>
  <si>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</si>
  <si>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</si>
  <si>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</si>
  <si>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</si>
  <si>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</si>
  <si>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</si>
  <si>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</si>
  <si>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</si>
  <si>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</si>
  <si>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</si>
  <si>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</si>
  <si>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</si>
  <si>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</si>
  <si>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</si>
  <si>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</si>
  <si>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</si>
  <si>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</si>
  <si>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</si>
  <si>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</si>
  <si>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</si>
  <si>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</si>
  <si>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</si>
  <si>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</si>
  <si>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</si>
  <si>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</si>
  <si>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</si>
  <si>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</si>
  <si>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</si>
  <si>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</si>
  <si>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</si>
  <si>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</si>
  <si>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</si>
  <si>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</si>
  <si>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</si>
  <si>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</si>
  <si>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</si>
  <si>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</si>
  <si>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</si>
  <si>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</si>
  <si>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</si>
  <si>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</si>
  <si>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</si>
  <si>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</si>
  <si>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</si>
  <si>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</si>
  <si>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</si>
  <si>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</si>
  <si>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</si>
  <si>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</si>
  <si>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</si>
  <si>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</si>
  <si>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</si>
  <si>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</si>
  <si>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</si>
  <si>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</si>
  <si>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</si>
  <si>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</si>
  <si>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</si>
  <si>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</si>
  <si>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</si>
  <si>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</si>
  <si>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</si>
  <si>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</si>
  <si>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</si>
  <si>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</si>
  <si>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</si>
  <si>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</si>
  <si>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</si>
  <si>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</si>
  <si>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</si>
  <si>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</si>
  <si>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</si>
  <si>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</si>
  <si>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</si>
  <si>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</si>
  <si>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</si>
  <si>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</si>
  <si>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</si>
  <si>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</si>
  <si>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</si>
  <si>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</si>
  <si>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</si>
  <si>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</si>
  <si>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</si>
  <si>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</si>
  <si>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</si>
  <si>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</si>
  <si>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</si>
  <si>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</si>
  <si>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</si>
  <si>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</si>
  <si>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</si>
  <si>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</si>
  <si>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</si>
  <si>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</si>
  <si>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</si>
  <si>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</si>
  <si>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</si>
  <si>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</si>
  <si>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</si>
  <si>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</si>
  <si>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</si>
  <si>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</si>
  <si>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</si>
  <si>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</si>
  <si>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</si>
  <si>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</si>
  <si>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</si>
  <si>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</si>
  <si>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</si>
  <si>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</si>
  <si>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</si>
  <si>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</si>
  <si>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</si>
  <si>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</si>
  <si>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</si>
  <si>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</si>
  <si>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</si>
  <si>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</si>
  <si>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</si>
  <si>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</si>
  <si>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</si>
  <si>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</si>
  <si>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</si>
  <si>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</si>
  <si>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</si>
  <si>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</si>
  <si>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</si>
  <si>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</si>
  <si>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</si>
  <si>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</si>
  <si>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</si>
  <si>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</si>
  <si>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</si>
  <si>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</si>
  <si>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</si>
  <si>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</si>
  <si>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</si>
  <si>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</si>
  <si>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</si>
  <si>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</si>
  <si>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</si>
  <si>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</si>
  <si>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</si>
  <si>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</si>
  <si>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</si>
  <si>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</si>
  <si>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</si>
  <si>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</si>
  <si>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</si>
  <si>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</si>
  <si>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</si>
  <si>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</si>
  <si>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</si>
  <si>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</si>
  <si>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</si>
  <si>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</si>
  <si>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</si>
  <si>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</si>
  <si>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</si>
  <si>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</si>
  <si>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</si>
  <si>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</si>
  <si>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</si>
  <si>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</si>
  <si>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</si>
  <si>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</si>
  <si>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</si>
  <si>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</si>
  <si>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</si>
  <si>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</si>
  <si>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</si>
  <si>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</si>
  <si>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</si>
  <si>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</si>
  <si>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</si>
  <si>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</si>
  <si>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</si>
  <si>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</si>
  <si>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</si>
  <si>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</si>
  <si>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</si>
  <si>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</si>
  <si>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</si>
  <si>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</si>
  <si>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</si>
  <si>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</si>
  <si>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</si>
  <si>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</si>
  <si>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</si>
  <si>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</si>
  <si>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</si>
  <si>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</si>
  <si>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</si>
  <si>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</si>
  <si>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</si>
  <si>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</si>
  <si>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</si>
  <si>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</si>
  <si>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</si>
  <si>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</si>
  <si>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</si>
  <si>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</si>
  <si>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</si>
  <si>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</si>
  <si>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</si>
  <si>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</si>
  <si>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</si>
  <si>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</si>
  <si>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</si>
  <si>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</si>
  <si>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</si>
  <si>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</si>
  <si>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</si>
  <si>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</si>
  <si>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</si>
  <si>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</si>
  <si>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</si>
  <si>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</si>
  <si>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</si>
  <si>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</si>
  <si>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</si>
  <si>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</si>
  <si>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</si>
  <si>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</si>
  <si>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</si>
  <si>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</si>
  <si>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</si>
  <si>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</si>
  <si>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</si>
  <si>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</si>
  <si>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</si>
  <si>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</si>
  <si>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</si>
  <si>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</si>
  <si>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</si>
  <si>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</si>
  <si>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</si>
  <si>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</si>
  <si>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</si>
  <si>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</si>
  <si>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</si>
  <si>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</si>
  <si>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</si>
  <si>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</si>
  <si>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</si>
  <si>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</si>
  <si>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</si>
  <si>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</si>
  <si>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</si>
  <si>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</si>
  <si>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Location</t>
  </si>
  <si>
    <t>Label (Type this)</t>
  </si>
  <si>
    <t>Formula (Type this)</t>
  </si>
  <si>
    <t>Average of Survived</t>
  </si>
  <si>
    <t>Average of Age</t>
  </si>
  <si>
    <t>A1</t>
  </si>
  <si>
    <t>Data Classification</t>
  </si>
  <si>
    <t>B1</t>
  </si>
  <si>
    <t>(Leave Blank)</t>
  </si>
  <si>
    <t>30.626179...</t>
  </si>
  <si>
    <t>A2</t>
  </si>
  <si>
    <t>Survived: Nominal (Binary)</t>
  </si>
  <si>
    <t>B2</t>
  </si>
  <si>
    <t>28.34365...</t>
  </si>
  <si>
    <t>A3</t>
  </si>
  <si>
    <t>Pclass: Ordinal</t>
  </si>
  <si>
    <t>Grand Total</t>
  </si>
  <si>
    <t>29.699117...</t>
  </si>
  <si>
    <t>A4</t>
  </si>
  <si>
    <t>Sex: Nominal</t>
  </si>
  <si>
    <t>Age: Ratio</t>
  </si>
  <si>
    <t>Fare: Ratio</t>
  </si>
  <si>
    <t>B6</t>
  </si>
  <si>
    <t>B7</t>
  </si>
  <si>
    <t>A8</t>
  </si>
  <si>
    <t>Descriptive Statistics</t>
  </si>
  <si>
    <t>B8</t>
  </si>
  <si>
    <t>A9</t>
  </si>
  <si>
    <t>Mean Age:</t>
  </si>
  <si>
    <t>B9</t>
  </si>
  <si>
    <t>Median Age:</t>
  </si>
  <si>
    <t>B10</t>
  </si>
  <si>
    <t>A11</t>
  </si>
  <si>
    <t>Mean Fare:</t>
  </si>
  <si>
    <t>B11</t>
  </si>
  <si>
    <t>A12</t>
  </si>
  <si>
    <t>Median Fare:</t>
  </si>
  <si>
    <t>B12</t>
  </si>
  <si>
    <t>A13</t>
  </si>
  <si>
    <t>B13</t>
  </si>
  <si>
    <t>Distribution Analysis</t>
  </si>
  <si>
    <t>B14</t>
  </si>
  <si>
    <t>A15</t>
  </si>
  <si>
    <t>Overall Survival (p):</t>
  </si>
  <si>
    <t>B15</t>
  </si>
  <si>
    <t>B16</t>
  </si>
  <si>
    <t>A17</t>
  </si>
  <si>
    <t>Age Histogram Bins</t>
  </si>
  <si>
    <t>B17</t>
  </si>
  <si>
    <t>A18</t>
  </si>
  <si>
    <t>Age Bins</t>
  </si>
  <si>
    <t>Frequency (Count)</t>
  </si>
  <si>
    <t>0-10</t>
  </si>
  <si>
    <t>11-20</t>
  </si>
  <si>
    <t>A21</t>
  </si>
  <si>
    <t>21-30</t>
  </si>
  <si>
    <t>B21</t>
  </si>
  <si>
    <t>A22</t>
  </si>
  <si>
    <t>31-40</t>
  </si>
  <si>
    <t>41-50</t>
  </si>
  <si>
    <t>B23</t>
  </si>
  <si>
    <t>51-60</t>
  </si>
  <si>
    <t>B24</t>
  </si>
  <si>
    <t>A25</t>
  </si>
  <si>
    <t>61-70</t>
  </si>
  <si>
    <t>B25</t>
  </si>
  <si>
    <t>71-80</t>
  </si>
  <si>
    <t>B26</t>
  </si>
  <si>
    <t>Pivot Name</t>
  </si>
  <si>
    <t>Rows</t>
  </si>
  <si>
    <t>Columns</t>
  </si>
  <si>
    <t>Values</t>
  </si>
  <si>
    <t>Summary Type</t>
  </si>
  <si>
    <t>Survival by Sex</t>
  </si>
  <si>
    <t>(None)</t>
  </si>
  <si>
    <t>Average (→ Survival %)</t>
  </si>
  <si>
    <t>Survival by Pclass</t>
  </si>
  <si>
    <t>Average</t>
  </si>
  <si>
    <t>Pclass × Sex Survival</t>
  </si>
  <si>
    <t>Test</t>
  </si>
  <si>
    <t>Formula</t>
  </si>
  <si>
    <t>Purpose</t>
  </si>
  <si>
    <t>T-Test (Avg Age Difference)</t>
  </si>
  <si>
    <t>Checks if survivors’ average age differs significantly from non-survivors.</t>
  </si>
  <si>
    <t>Correlation (Age vs Fare)</t>
  </si>
  <si>
    <t>Tests relationship between Age &amp; Fare.</t>
  </si>
  <si>
    <t>Factor</t>
  </si>
  <si>
    <t>Observation</t>
  </si>
  <si>
    <t>Insight</t>
  </si>
  <si>
    <t>Survival rate of females much higher than males</t>
  </si>
  <si>
    <t>Women prioritized in rescue efforts.</t>
  </si>
  <si>
    <t>1st Class &gt; 2nd Class &gt; 3rd Class</t>
  </si>
  <si>
    <t>Wealthier passengers had better survival chances.</t>
  </si>
  <si>
    <t>Survivors slightly younger on average</t>
  </si>
  <si>
    <t>Younger passengers possibly reached lifeboats sooner.</t>
  </si>
  <si>
    <t>Higher fares linked to higher survival</t>
  </si>
  <si>
    <t>Indicates class advantage.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</si>
</sst>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Survival Rate by Gender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Analysis!$E$2:$E$3</c:f>
            </c:strRef>
          </c:cat>
          <c:val>
            <c:numRef>
              <c:f>Analysis!$F$2:$F$3</c:f>
              <c:numCache/>
            </c:numRef>
          </c:val>
        </c:ser>
        <c:axId val="1659573653"/>
        <c:axId val="1940714850"/>
      </c:barChart>
      <c:catAx>
        <c:axId val="16595736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714850"/>
      </c:catAx>
      <c:valAx>
        <c:axId val="1940714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5736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Survival Rate by Passenger Class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Analysis!$H$2:$H$4</c:f>
              <c:numCache/>
            </c:numRef>
          </c:val>
        </c:ser>
        <c:ser>
          <c:idx val="1"/>
          <c:order val="1"/>
          <c:tx>
            <c:strRef>
              <c:f>Analysis!$I$1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Analysis!$I$2:$I$4</c:f>
              <c:numCache/>
            </c:numRef>
          </c:val>
        </c:ser>
        <c:axId val="447133034"/>
        <c:axId val="63627759"/>
      </c:barChart>
      <c:catAx>
        <c:axId val="447133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27759"/>
      </c:catAx>
      <c:valAx>
        <c:axId val="63627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133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Distribution of Passengers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Analysis!$A$20:$A$27</c:f>
            </c:strRef>
          </c:cat>
          <c:val>
            <c:numRef>
              <c:f>Analysis!$B$20:$B$27</c:f>
              <c:numCache/>
            </c:numRef>
          </c:val>
        </c:ser>
        <c:ser>
          <c:idx val="1"/>
          <c:order val="1"/>
          <c:tx>
            <c:strRef>
              <c:f>Analysis!$C$19</c:f>
            </c:strRef>
          </c:tx>
          <c:cat>
            <c:strRef>
              <c:f>Analysis!$A$20:$A$27</c:f>
            </c:strRef>
          </c:cat>
          <c:val>
            <c:numRef>
              <c:f>Analysis!$C$20:$C$27</c:f>
              <c:numCache/>
            </c:numRef>
          </c:val>
        </c:ser>
        <c:ser>
          <c:idx val="2"/>
          <c:order val="2"/>
          <c:tx>
            <c:strRef>
              <c:f>Analysis!$D$19</c:f>
            </c:strRef>
          </c:tx>
          <c:cat>
            <c:strRef>
              <c:f>Analysis!$A$20:$A$27</c:f>
            </c:strRef>
          </c:cat>
          <c:val>
            <c:numRef>
              <c:f>Analysis!$D$20:$D$27</c:f>
              <c:numCache/>
            </c:numRef>
          </c:val>
        </c:ser>
        <c:axId val="716889180"/>
        <c:axId val="1396562648"/>
      </c:barChart>
      <c:catAx>
        <c:axId val="716889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562648"/>
      </c:catAx>
      <c:valAx>
        <c:axId val="1396562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88918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Age of Survivors vs. Non-Survivors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Analysis!$K$2:$K$3</c:f>
              <c:numCache/>
            </c:numRef>
          </c:val>
        </c:ser>
        <c:ser>
          <c:idx val="1"/>
          <c:order val="1"/>
          <c:tx>
            <c:strRef>
              <c:f>Analysis!$L$1</c:f>
            </c:strRef>
          </c:tx>
          <c:val>
            <c:numRef>
              <c:f>Analysis!$L$2:$L$3</c:f>
              <c:numCache/>
            </c:numRef>
          </c:val>
        </c:ser>
        <c:axId val="441535043"/>
        <c:axId val="1807378694"/>
      </c:barChart>
      <c:catAx>
        <c:axId val="4415350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378694"/>
      </c:catAx>
      <c:valAx>
        <c:axId val="1807378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535043"/>
        <c:crosses val="max"/>
      </c:valAx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18</xdr:row>
      <xdr:rowOff>180975</xdr:rowOff>
    </xdr:from>
    <xdr:ext cx="61245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180975</xdr:rowOff>
    </xdr:from>
    <xdr:ext cx="70199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295275</xdr:colOff>
      <xdr:row>0</xdr:row>
      <xdr:rowOff>0</xdr:rowOff>
    </xdr:from>
    <xdr:ext cx="6124575" cy="3743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133350</xdr:rowOff>
    </xdr:from>
    <xdr:ext cx="70199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7019925" cy="3743325"/>
    <xdr:sp>
      <xdr:nvSpPr>
        <xdr:cNvPr id="3" name="Shape 3"/>
        <xdr:cNvSpPr txBox="1"/>
      </xdr:nvSpPr>
      <xdr:spPr>
        <a:xfrm>
          <a:off x="73075" y="875000"/>
          <a:ext cx="7620000" cy="4425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Conclusion: Survival on the Titanic was not random. It was powerfully determined by a passenger's gender, class, and to a lesser extent, age.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The data tells a clear story of "women and children first," but only for those who could afford it.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 Gender: The most significant factor. Females had a survival rate of ~74%, while males had a rate of only ~19%.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 Class: Wealth was a clear secondary factor. 1st Class passengers had a ~63% survival rate, while 3rd Class passengers had a rate of only ~24%.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 Fare Skew: The difference between the Mean Fare (~$32) and Median Fare (~$14) confirms the data is heavily skewed. This wealth disparity is directly reflected in the survival rates by class.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 Age: The age distribution is roughly normal but skewed slightly young. The average age of survivors (~28) was slightly lower than non-survivors (~30), supporting the "women and children" part of the protocol.</a:t>
          </a: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L4" sheet="Analysis"/>
  </cacheSource>
  <cacheFields>
    <cacheField name="Survived">
      <sharedItems containsMixedTypes="1" containsNumber="1" containsInteger="1">
        <n v="0.0"/>
        <n v="1.0"/>
        <s v="Grand Total"/>
      </sharedItems>
    </cacheField>
    <cacheField name="Average of Age" numFmtId="0">
      <sharedItems>
        <s v="30.626179..."/>
        <s v="28.34365..."/>
        <s v="29.699117...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I5" sheet="Analysis"/>
  </cacheSource>
  <cacheFields>
    <cacheField name="Pclass">
      <sharedItems containsMixedTypes="1" containsNumber="1" containsInteger="1">
        <n v="1.0"/>
        <n v="2.0"/>
        <n v="3.0"/>
        <s v="Grand Total"/>
      </sharedItems>
    </cacheField>
    <cacheField name="Average of Survived" numFmtId="10">
      <sharedItems containsSemiMixedTypes="0" containsString="0" containsNumber="1">
        <n v="0.6296"/>
        <n v="0.4728"/>
        <n v="0.2424"/>
        <n v="0.383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F4" sheet="Analysis"/>
  </cacheSource>
  <cacheFields>
    <cacheField name="Sex" numFmtId="0">
      <sharedItems>
        <s v="female"/>
        <s v="male"/>
        <s v="Grand Total"/>
      </sharedItems>
    </cacheField>
    <cacheField name="Average of Survived" numFmtId="10">
      <sharedItems containsSemiMixedTypes="0" containsString="0" containsNumber="1">
        <n v="0.742"/>
        <n v="0.1889"/>
        <n v="0.383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E10" firstHeaderRow="0" firstDataRow="0" firstDataCol="0"/>
  <pivotFields>
    <pivotField name="Survived" compact="0" outline="0" multipleItemSelectionAllowed="1" showAll="0">
      <items>
        <item x="0"/>
        <item x="1"/>
        <item x="2"/>
        <item t="default"/>
      </items>
    </pivotField>
    <pivotField name="Average of Age" compact="0" outline="0" multipleItemSelectionAllowed="1" showAll="0">
      <items>
        <item x="0"/>
        <item x="1"/>
        <item x="2"/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E10" firstHeaderRow="0" firstDataRow="0" firstDataCol="0"/>
  <pivotFields>
    <pivotField name="Pclass" compact="0" outline="0" multipleItemSelectionAllowed="1" showAll="0">
      <items>
        <item x="0"/>
        <item x="1"/>
        <item x="2"/>
        <item x="3"/>
        <item t="default"/>
      </items>
    </pivotField>
    <pivotField name="Average of Survived" compact="0" numFmtId="1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pivotTables/pivotTable3.xml><?xml version="1.0" encoding="utf-8"?>
<pivotTableDefinition xmlns="http://schemas.openxmlformats.org/spreadsheetml/2006/main" name="Pivot Table 1" cacheId="2" dataCaption="" compact="0" compactData="0">
  <location ref="A1:E10" firstHeaderRow="0" firstDataRow="0" firstDataCol="0"/>
  <pivotFields>
    <pivotField name="Sex" compact="0" outline="0" multipleItemSelectionAllowed="1" showAll="0">
      <items>
        <item x="0"/>
        <item x="1"/>
        <item x="2"/>
        <item t="default"/>
      </items>
    </pivotField>
    <pivotField name="Average of Survived" compact="0" numFmtId="10" outline="0" multipleItemSelectionAllowed="1" showAll="0">
      <items>
        <item x="0"/>
        <item x="1"/>
        <item x="2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1222</v>
      </c>
      <c r="B1" s="2" t="s">
        <v>1223</v>
      </c>
      <c r="C1" s="2" t="s">
        <v>1222</v>
      </c>
      <c r="D1" s="2" t="s">
        <v>1224</v>
      </c>
      <c r="E1" s="2" t="s">
        <v>4</v>
      </c>
      <c r="F1" s="2" t="s">
        <v>1225</v>
      </c>
      <c r="H1" s="2" t="s">
        <v>2</v>
      </c>
      <c r="I1" s="2" t="s">
        <v>1225</v>
      </c>
      <c r="K1" s="2" t="s">
        <v>1</v>
      </c>
      <c r="L1" s="2" t="s">
        <v>1226</v>
      </c>
    </row>
    <row r="2">
      <c r="A2" s="3" t="s">
        <v>1227</v>
      </c>
      <c r="B2" s="3" t="s">
        <v>1228</v>
      </c>
      <c r="C2" s="3" t="s">
        <v>1229</v>
      </c>
      <c r="D2" s="4" t="s">
        <v>1230</v>
      </c>
      <c r="E2" s="2" t="s">
        <v>17</v>
      </c>
      <c r="F2" s="5">
        <v>0.742</v>
      </c>
      <c r="H2" s="2">
        <v>1.0</v>
      </c>
      <c r="I2" s="5">
        <v>0.6296</v>
      </c>
      <c r="K2" s="2">
        <v>0.0</v>
      </c>
      <c r="L2" s="2" t="s">
        <v>1231</v>
      </c>
    </row>
    <row r="3">
      <c r="A3" s="3" t="s">
        <v>1232</v>
      </c>
      <c r="B3" s="2" t="s">
        <v>1233</v>
      </c>
      <c r="C3" s="3" t="s">
        <v>1234</v>
      </c>
      <c r="D3" s="4" t="s">
        <v>1230</v>
      </c>
      <c r="E3" s="2" t="s">
        <v>13</v>
      </c>
      <c r="F3" s="5">
        <v>0.1889</v>
      </c>
      <c r="H3" s="2">
        <v>2.0</v>
      </c>
      <c r="I3" s="5">
        <v>0.4728</v>
      </c>
      <c r="K3" s="2">
        <v>1.0</v>
      </c>
      <c r="L3" s="2" t="s">
        <v>1235</v>
      </c>
    </row>
    <row r="4">
      <c r="A4" s="3" t="s">
        <v>1236</v>
      </c>
      <c r="B4" s="2" t="s">
        <v>1237</v>
      </c>
      <c r="C4" s="3" t="s">
        <v>1082</v>
      </c>
      <c r="D4" s="4" t="s">
        <v>1230</v>
      </c>
      <c r="E4" s="3" t="s">
        <v>1238</v>
      </c>
      <c r="F4" s="6">
        <v>0.3838</v>
      </c>
      <c r="H4" s="2">
        <v>3.0</v>
      </c>
      <c r="I4" s="5">
        <v>0.2424</v>
      </c>
      <c r="K4" s="3" t="s">
        <v>1238</v>
      </c>
      <c r="L4" s="3" t="s">
        <v>1239</v>
      </c>
    </row>
    <row r="5">
      <c r="A5" s="3" t="s">
        <v>1240</v>
      </c>
      <c r="B5" s="2" t="s">
        <v>1241</v>
      </c>
      <c r="C5" s="3" t="s">
        <v>300</v>
      </c>
      <c r="D5" s="4" t="s">
        <v>1230</v>
      </c>
      <c r="H5" s="3" t="s">
        <v>1238</v>
      </c>
      <c r="I5" s="6">
        <v>0.3838</v>
      </c>
    </row>
    <row r="6">
      <c r="A6" s="3" t="s">
        <v>159</v>
      </c>
      <c r="B6" s="2" t="s">
        <v>1242</v>
      </c>
      <c r="C6" s="3" t="s">
        <v>969</v>
      </c>
      <c r="D6" s="4" t="s">
        <v>1230</v>
      </c>
    </row>
    <row r="7">
      <c r="A7" s="3" t="s">
        <v>52</v>
      </c>
      <c r="B7" s="2" t="s">
        <v>1243</v>
      </c>
      <c r="C7" s="3" t="s">
        <v>1244</v>
      </c>
      <c r="D7" s="4" t="s">
        <v>1230</v>
      </c>
    </row>
    <row r="8">
      <c r="A8" s="3" t="s">
        <v>272</v>
      </c>
      <c r="B8" s="4" t="s">
        <v>1230</v>
      </c>
      <c r="C8" s="3" t="s">
        <v>1245</v>
      </c>
      <c r="D8" s="4" t="s">
        <v>1230</v>
      </c>
    </row>
    <row r="9">
      <c r="A9" s="3" t="s">
        <v>1246</v>
      </c>
      <c r="B9" s="3" t="s">
        <v>1247</v>
      </c>
      <c r="C9" s="3" t="s">
        <v>1248</v>
      </c>
      <c r="D9" s="4" t="s">
        <v>1230</v>
      </c>
    </row>
    <row r="10">
      <c r="A10" s="3" t="s">
        <v>1249</v>
      </c>
      <c r="B10" s="2" t="s">
        <v>1250</v>
      </c>
      <c r="C10" s="3" t="s">
        <v>1251</v>
      </c>
      <c r="D10" s="7">
        <f>AVERAGE('Raw Data'!F:F)</f>
        <v>29.69911765</v>
      </c>
    </row>
    <row r="11">
      <c r="A11" s="3" t="s">
        <v>835</v>
      </c>
      <c r="B11" s="2" t="s">
        <v>1252</v>
      </c>
      <c r="C11" s="3" t="s">
        <v>1253</v>
      </c>
      <c r="D11" s="7">
        <f>MEDIAN('Raw Data'!F:F)</f>
        <v>28</v>
      </c>
    </row>
    <row r="12">
      <c r="A12" s="3" t="s">
        <v>1254</v>
      </c>
      <c r="B12" s="2" t="s">
        <v>1255</v>
      </c>
      <c r="C12" s="3" t="s">
        <v>1256</v>
      </c>
      <c r="D12" s="7">
        <f>AVERAGE('Raw Data'!J:J)</f>
        <v>32.20420797</v>
      </c>
    </row>
    <row r="13">
      <c r="A13" s="3" t="s">
        <v>1257</v>
      </c>
      <c r="B13" s="2" t="s">
        <v>1258</v>
      </c>
      <c r="C13" s="3" t="s">
        <v>1259</v>
      </c>
      <c r="D13" s="8">
        <f>MEDIAN('Raw Data'!J:J)</f>
        <v>14.4542</v>
      </c>
    </row>
    <row r="14">
      <c r="A14" s="3" t="s">
        <v>1260</v>
      </c>
      <c r="B14" s="4" t="s">
        <v>1230</v>
      </c>
      <c r="C14" s="3" t="s">
        <v>1261</v>
      </c>
      <c r="D14" s="4" t="s">
        <v>1230</v>
      </c>
    </row>
    <row r="15">
      <c r="A15" s="3" t="s">
        <v>687</v>
      </c>
      <c r="B15" s="3" t="s">
        <v>1262</v>
      </c>
      <c r="C15" s="3" t="s">
        <v>1263</v>
      </c>
      <c r="D15" s="4" t="s">
        <v>1230</v>
      </c>
    </row>
    <row r="16">
      <c r="A16" s="3" t="s">
        <v>1264</v>
      </c>
      <c r="B16" s="2" t="s">
        <v>1265</v>
      </c>
      <c r="C16" s="3" t="s">
        <v>1266</v>
      </c>
      <c r="D16" s="8">
        <f>AVERAGE('Raw Data'!B:B)</f>
        <v>0.3838383838</v>
      </c>
    </row>
    <row r="17">
      <c r="A17" s="3" t="s">
        <v>798</v>
      </c>
      <c r="B17" s="4" t="s">
        <v>1230</v>
      </c>
      <c r="C17" s="3" t="s">
        <v>1267</v>
      </c>
      <c r="D17" s="4" t="s">
        <v>1230</v>
      </c>
    </row>
    <row r="18">
      <c r="A18" s="3" t="s">
        <v>1268</v>
      </c>
      <c r="B18" s="3" t="s">
        <v>1269</v>
      </c>
      <c r="C18" s="3" t="s">
        <v>1270</v>
      </c>
      <c r="D18" s="4" t="s">
        <v>1230</v>
      </c>
    </row>
    <row r="19">
      <c r="A19" s="3" t="s">
        <v>1271</v>
      </c>
      <c r="B19" s="3" t="s">
        <v>1272</v>
      </c>
      <c r="C19" s="3" t="s">
        <v>497</v>
      </c>
      <c r="D19" s="3" t="s">
        <v>1273</v>
      </c>
    </row>
    <row r="20">
      <c r="A20" s="3" t="s">
        <v>431</v>
      </c>
      <c r="B20" s="2" t="s">
        <v>1274</v>
      </c>
      <c r="C20" s="3" t="s">
        <v>266</v>
      </c>
      <c r="D20" s="7">
        <f>COUNTIFS('Raw Data'!F:F, "&gt;=0", 'Raw Data'!F:F, "&lt;=10")</f>
        <v>64</v>
      </c>
    </row>
    <row r="21">
      <c r="A21" s="3" t="s">
        <v>858</v>
      </c>
      <c r="B21" s="2" t="s">
        <v>1275</v>
      </c>
      <c r="C21" s="3" t="s">
        <v>971</v>
      </c>
      <c r="D21" s="7">
        <f>COUNTIFS('Raw Data'!F:F, "&gt;=11", 'Raw Data'!F:F, "&lt;=20")</f>
        <v>115</v>
      </c>
    </row>
    <row r="22">
      <c r="A22" s="3" t="s">
        <v>1276</v>
      </c>
      <c r="B22" s="2" t="s">
        <v>1277</v>
      </c>
      <c r="C22" s="3" t="s">
        <v>1278</v>
      </c>
      <c r="D22" s="7">
        <f>COUNTIFS('Raw Data'!F:F, "&gt;=21", 'Raw Data'!F:F, "&lt;=30")</f>
        <v>229</v>
      </c>
    </row>
    <row r="23">
      <c r="A23" s="3" t="s">
        <v>1279</v>
      </c>
      <c r="B23" s="2" t="s">
        <v>1280</v>
      </c>
      <c r="C23" s="3" t="s">
        <v>778</v>
      </c>
      <c r="D23" s="7">
        <f>COUNTIFS('Raw Data'!F:F, "&gt;=31", 'Raw Data'!F:F, "&lt;=40")</f>
        <v>153</v>
      </c>
    </row>
    <row r="24">
      <c r="A24" s="3" t="s">
        <v>894</v>
      </c>
      <c r="B24" s="2" t="s">
        <v>1281</v>
      </c>
      <c r="C24" s="3" t="s">
        <v>1282</v>
      </c>
      <c r="D24" s="7">
        <f>COUNTIFS('Raw Data'!F:F, "&gt;=41", 'Raw Data'!F:F, "&lt;=50")</f>
        <v>84</v>
      </c>
    </row>
    <row r="25">
      <c r="A25" s="3" t="s">
        <v>1193</v>
      </c>
      <c r="B25" s="2" t="s">
        <v>1283</v>
      </c>
      <c r="C25" s="3" t="s">
        <v>1284</v>
      </c>
      <c r="D25" s="7">
        <f>COUNTIFS('Raw Data'!F:F, "&gt;=51", 'Raw Data'!F:F, "&lt;=60")</f>
        <v>42</v>
      </c>
    </row>
    <row r="26">
      <c r="A26" s="3" t="s">
        <v>1285</v>
      </c>
      <c r="B26" s="2" t="s">
        <v>1286</v>
      </c>
      <c r="C26" s="3" t="s">
        <v>1287</v>
      </c>
      <c r="D26" s="7">
        <f>COUNTIFS('Raw Data'!F:F, "&gt;=61", 'Raw Data'!F:F, "&lt;=70")</f>
        <v>17</v>
      </c>
    </row>
    <row r="27">
      <c r="A27" s="3" t="s">
        <v>914</v>
      </c>
      <c r="B27" s="2" t="s">
        <v>1288</v>
      </c>
      <c r="C27" s="3" t="s">
        <v>1289</v>
      </c>
      <c r="D27" s="7">
        <f>COUNTIFS('Raw Data'!F:F, "&gt;=71", 'Raw Data'!F:F, "&lt;=80")</f>
        <v>4</v>
      </c>
    </row>
    <row r="30">
      <c r="A30" s="9"/>
      <c r="B30" s="9"/>
    </row>
    <row r="40">
      <c r="A40" s="9"/>
      <c r="B40" s="9"/>
      <c r="C40" s="9"/>
      <c r="D40" s="9"/>
    </row>
    <row r="46">
      <c r="A46" s="9"/>
      <c r="B46" s="9"/>
      <c r="C46" s="9"/>
      <c r="D46" s="9"/>
    </row>
    <row r="52">
      <c r="A52" s="9"/>
      <c r="B52" s="9"/>
      <c r="C52" s="9"/>
      <c r="D52" s="9"/>
    </row>
    <row r="60">
      <c r="A60" s="9" t="s">
        <v>1290</v>
      </c>
      <c r="B60" s="9" t="s">
        <v>1291</v>
      </c>
      <c r="C60" s="9" t="s">
        <v>1292</v>
      </c>
      <c r="D60" s="9" t="s">
        <v>1293</v>
      </c>
      <c r="E60" s="9" t="s">
        <v>1294</v>
      </c>
    </row>
    <row r="61">
      <c r="A61" s="1" t="s">
        <v>1295</v>
      </c>
      <c r="B61" s="1" t="s">
        <v>4</v>
      </c>
      <c r="C61" s="1" t="s">
        <v>1296</v>
      </c>
      <c r="D61" s="1" t="s">
        <v>1</v>
      </c>
      <c r="E61" s="1" t="s">
        <v>1297</v>
      </c>
    </row>
    <row r="62">
      <c r="A62" s="1" t="s">
        <v>1298</v>
      </c>
      <c r="B62" s="1" t="s">
        <v>2</v>
      </c>
      <c r="C62" s="1" t="s">
        <v>1296</v>
      </c>
      <c r="D62" s="1" t="s">
        <v>1</v>
      </c>
      <c r="E62" s="1" t="s">
        <v>1299</v>
      </c>
    </row>
    <row r="63">
      <c r="A63" s="1" t="s">
        <v>1300</v>
      </c>
      <c r="B63" s="1" t="s">
        <v>2</v>
      </c>
      <c r="C63" s="1" t="s">
        <v>4</v>
      </c>
      <c r="D63" s="1" t="s">
        <v>1</v>
      </c>
      <c r="E63" s="1" t="s">
        <v>1299</v>
      </c>
    </row>
    <row r="70">
      <c r="A70" s="9" t="s">
        <v>1301</v>
      </c>
      <c r="B70" s="9" t="s">
        <v>1302</v>
      </c>
      <c r="C70" s="9" t="s">
        <v>1303</v>
      </c>
    </row>
    <row r="71">
      <c r="A71" s="1" t="s">
        <v>1304</v>
      </c>
      <c r="B71" s="10" t="str">
        <f>IFERROR(__xludf.DUMMYFUNCTION("T.TEST(FILTER('Raw Data'!M2:M1000,'Raw Data'!B2:B1000=1), FILTER('Raw Data'!M2:M1000,'Raw Data'!B2:B1000=0),2,2)"),"#DIV/0!")</f>
        <v>#DIV/0!</v>
      </c>
      <c r="C71" s="1" t="s">
        <v>1305</v>
      </c>
    </row>
    <row r="72">
      <c r="A72" s="1" t="s">
        <v>1306</v>
      </c>
      <c r="B72" s="10" t="str">
        <f>CORREL('Raw Data'!M2:M1000,'Raw Data'!J2:J1000)</f>
        <v>#DIV/0!</v>
      </c>
      <c r="C72" s="1" t="s">
        <v>1307</v>
      </c>
    </row>
    <row r="78">
      <c r="A78" s="9" t="s">
        <v>1308</v>
      </c>
      <c r="B78" s="9" t="s">
        <v>1309</v>
      </c>
      <c r="C78" s="9" t="s">
        <v>1310</v>
      </c>
    </row>
    <row r="79">
      <c r="A79" s="1" t="s">
        <v>4</v>
      </c>
      <c r="B79" s="1" t="s">
        <v>1311</v>
      </c>
      <c r="C79" s="1" t="s">
        <v>1312</v>
      </c>
    </row>
    <row r="80">
      <c r="A80" s="1" t="s">
        <v>2</v>
      </c>
      <c r="B80" s="1" t="s">
        <v>1313</v>
      </c>
      <c r="C80" s="1" t="s">
        <v>1314</v>
      </c>
    </row>
    <row r="81">
      <c r="A81" s="1" t="s">
        <v>5</v>
      </c>
      <c r="B81" s="1" t="s">
        <v>1315</v>
      </c>
      <c r="C81" s="1" t="s">
        <v>1316</v>
      </c>
    </row>
    <row r="82">
      <c r="A82" s="1" t="s">
        <v>9</v>
      </c>
      <c r="B82" s="1" t="s">
        <v>1317</v>
      </c>
      <c r="C82" s="1" t="s">
        <v>1318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